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5b6f964fd786faf/Desktop/"/>
    </mc:Choice>
  </mc:AlternateContent>
  <xr:revisionPtr revIDLastSave="16" documentId="14_{CE62388C-19C9-4E9C-8BA6-3719855D0F45}" xr6:coauthVersionLast="47" xr6:coauthVersionMax="47" xr10:uidLastSave="{A30BC61C-6FCA-4AE5-A438-5A9451C9E028}"/>
  <bookViews>
    <workbookView xWindow="-108" yWindow="-108" windowWidth="23256" windowHeight="12456" tabRatio="500" xr2:uid="{00000000-000D-0000-FFFF-FFFF00000000}"/>
  </bookViews>
  <sheets>
    <sheet name="Vendor Invoice Data" sheetId="4" r:id="rId1"/>
    <sheet name="GST ITC Reconciliation"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6" i="1" l="1"/>
  <c r="L6" i="4"/>
  <c r="L7" i="4"/>
  <c r="L8" i="4"/>
  <c r="L9" i="4"/>
  <c r="L10" i="4"/>
  <c r="L11" i="4"/>
  <c r="J6" i="4"/>
  <c r="J7" i="4"/>
  <c r="J8" i="4"/>
  <c r="K8" i="4" s="1"/>
  <c r="J9" i="4"/>
  <c r="K9" i="4" s="1"/>
  <c r="J10" i="4"/>
  <c r="K10" i="4" s="1"/>
  <c r="J11" i="4"/>
  <c r="K11" i="4" s="1"/>
  <c r="J5" i="4"/>
  <c r="M6" i="4"/>
  <c r="M7" i="4"/>
  <c r="M8" i="4"/>
  <c r="M9" i="4"/>
  <c r="M10" i="4"/>
  <c r="M11" i="4"/>
  <c r="M5" i="4"/>
  <c r="L5" i="4"/>
  <c r="A5" i="4"/>
  <c r="K6" i="4"/>
  <c r="K7" i="4"/>
  <c r="K5" i="4"/>
  <c r="I6" i="4"/>
  <c r="I7" i="4"/>
  <c r="I8" i="4"/>
  <c r="I9" i="4"/>
  <c r="I10" i="4"/>
  <c r="I11" i="4"/>
  <c r="I5" i="4"/>
  <c r="H8" i="4"/>
  <c r="H9" i="4"/>
  <c r="H10" i="4"/>
  <c r="H11" i="4"/>
  <c r="H6" i="4"/>
  <c r="H7" i="4"/>
  <c r="H5" i="4"/>
  <c r="A11" i="4"/>
  <c r="A6" i="4"/>
  <c r="A7" i="4"/>
  <c r="A8" i="4"/>
  <c r="A9" i="4"/>
  <c r="A10" i="4"/>
  <c r="F9" i="1"/>
  <c r="D12" i="1"/>
  <c r="C12" i="1"/>
  <c r="E11" i="1"/>
  <c r="F11" i="1" s="1"/>
  <c r="E10" i="1"/>
  <c r="F10" i="1" s="1"/>
  <c r="E9" i="1"/>
  <c r="E8" i="1"/>
  <c r="F8" i="1" s="1"/>
  <c r="E7" i="1"/>
  <c r="F7" i="1" s="1"/>
  <c r="F6" i="1"/>
  <c r="E5" i="1"/>
  <c r="F5" i="1" s="1"/>
  <c r="E12" i="1" l="1"/>
</calcChain>
</file>

<file path=xl/sharedStrings.xml><?xml version="1.0" encoding="utf-8"?>
<sst xmlns="http://schemas.openxmlformats.org/spreadsheetml/2006/main" count="71" uniqueCount="51">
  <si>
    <t>GST Input Tax Credit (ITC) Reconciliation</t>
  </si>
  <si>
    <t>Comparing ITC claimed in GSTR-3B against ITC available as per GSTR-2B, for a sample business (April 2026)</t>
  </si>
  <si>
    <t>Vendor Name</t>
  </si>
  <si>
    <t>Invoice No.</t>
  </si>
  <si>
    <t>ITC as per GSTR-2B (Rs.)</t>
  </si>
  <si>
    <t>ITC claimed in GSTR-3B (Rs.)</t>
  </si>
  <si>
    <t>Difference (Rs.)</t>
  </si>
  <si>
    <t>Remarks</t>
  </si>
  <si>
    <t>Eastern Chemicals Pvt Ltd</t>
  </si>
  <si>
    <t>TOTAL</t>
  </si>
  <si>
    <t>What this shows:</t>
  </si>
  <si>
    <t>• Ideally, the ITC claimed in GSTR-3B should match GSTR-2B. Any difference needs to be checked and corrected.</t>
  </si>
  <si>
    <t>• GSTR-3B is the summary return where a business actually claims that ITC while paying its GST liability.</t>
  </si>
  <si>
    <t>• GSTR-2B is the auto-generated statement showing ITC available to a business based on what its vendors have uploaded/filed.</t>
  </si>
  <si>
    <t>INV/1001</t>
  </si>
  <si>
    <t>INV/1002</t>
  </si>
  <si>
    <t>INV/1003</t>
  </si>
  <si>
    <t>INV/1004</t>
  </si>
  <si>
    <t>INV/1005</t>
  </si>
  <si>
    <t>INV/1006</t>
  </si>
  <si>
    <t>INV/1007</t>
  </si>
  <si>
    <t>Dhara Industries</t>
  </si>
  <si>
    <t>Novatal Automobile Pvt Ltd</t>
  </si>
  <si>
    <t>Agarwal Jewellers</t>
  </si>
  <si>
    <t>Amit &amp; Sons Ltd</t>
  </si>
  <si>
    <t>Das Manufacturers</t>
  </si>
  <si>
    <t>Raj Electricals</t>
  </si>
  <si>
    <t>GSTIN</t>
  </si>
  <si>
    <t>Invoice Date</t>
  </si>
  <si>
    <t>Taxable Value (Rs.)</t>
  </si>
  <si>
    <t>CGST (Rs.)</t>
  </si>
  <si>
    <t>SGST (Rs.)</t>
  </si>
  <si>
    <t>IGST (Rs.)</t>
  </si>
  <si>
    <t>Total GST (Rs.)</t>
  </si>
  <si>
    <t>ITC as per GSTR-3B (Rs.)</t>
  </si>
  <si>
    <t>19ABCDE1234G1Z5</t>
  </si>
  <si>
    <t>19XYZLK6789G4Z5</t>
  </si>
  <si>
    <t>24ABCFG5678L1Z2</t>
  </si>
  <si>
    <t>27PQRSX3456M1Z8</t>
  </si>
  <si>
    <t>19LMNOP9876Q1Z6</t>
  </si>
  <si>
    <t>19QWERT4567N1Z9</t>
  </si>
  <si>
    <t>19HJKLM2345R1Z4</t>
  </si>
  <si>
    <t>Supplier State</t>
  </si>
  <si>
    <t>Place of Supply</t>
  </si>
  <si>
    <t>West Bengal</t>
  </si>
  <si>
    <t>Gujarat</t>
  </si>
  <si>
    <t>Maharashtra</t>
  </si>
  <si>
    <t>Odisha</t>
  </si>
  <si>
    <t>• In this example: Raj Electricals shows Rs. 8,300 claimed in excess (needs to be reversed with interest), and Eastern Chemicals' ITC of Rs. 75,500 was missed entirely and should be claimed on or before 30 November following the end of the relevant Financial Year or the date of filing Annual Return for that Financial Year, whichever is earlier.</t>
  </si>
  <si>
    <t>GST Vendor Invoice Data</t>
  </si>
  <si>
    <t>Sample purchase invoice data prepared for GST ITC Reconciliation and GSTR 2B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</si>
</sst>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4"/>
      <color rgb="FF1F3864"/>
      <name val="Arial"/>
      <charset val="1"/>
    </font>
    <font>
      <b/>
      <sz val="10"/>
      <color rgb="FFFFFFFF"/>
      <name val="Arial"/>
      <charset val="1"/>
    </font>
    <font>
      <sz val="10"/>
      <name val="Arial"/>
      <charset val="1"/>
    </font>
    <font>
      <sz val="10"/>
      <color rgb="FF0000FF"/>
      <name val="Arial"/>
      <charset val="1"/>
    </font>
    <font>
      <b/>
      <sz val="10"/>
      <name val="Arial"/>
      <charset val="1"/>
    </font>
    <font>
      <b/>
      <sz val="11"/>
      <color rgb="FF1F3864"/>
      <name val="Arial"/>
      <charset val="1"/>
    </font>
    <font>
      <sz val="8"/>
      <name val="Calibri"/>
      <family val="2"/>
      <charset val="1"/>
    </font>
    <font>
      <sz val="10"/>
      <name val="Arial"/>
      <family val="2"/>
    </font>
    <font>
      <b/>
      <sz val="12"/>
      <color theme="0"/>
      <name val="Calibri"/>
      <family val="2"/>
    </font>
    <font>
      <b/>
      <sz val="14"/>
      <color theme="1"/>
      <name val="Calibri"/>
      <family val="2"/>
    </font>
    <font>
      <sz val="11"/>
      <color rgb="FF595959"/>
      <name val="Calibri"/>
      <family val="2"/>
    </font>
    <font>
      <i/>
      <sz val="10"/>
      <color rgb="FF595959"/>
      <name val="Arial"/>
      <family val="2"/>
    </font>
  </fonts>
  <fills count="6">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CCCCFF"/>
      </patternFill>
    </fill>
    <fill>
      <patternFill patternType="solid">
        <fgColor theme="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6" fillId="0" borderId="0" xfId="0" applyFont="1"/>
    <xf numFmtId="3" fontId="0" fillId="0" borderId="0" xfId="0" applyNumberFormat="1" applyAlignment="1">
      <alignment horizontal="center" vertical="center"/>
    </xf>
    <xf numFmtId="0" fontId="0" fillId="0" borderId="1" xfId="0" applyBorder="1"/>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0" fillId="0" borderId="1" xfId="0" applyBorder="1" applyAlignment="1">
      <alignment horizontal="center" vertical="center"/>
    </xf>
    <xf numFmtId="15"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xf>
    <xf numFmtId="164" fontId="4" fillId="0" borderId="1" xfId="0" applyNumberFormat="1" applyFont="1" applyBorder="1" applyAlignment="1">
      <alignment horizontal="center"/>
    </xf>
    <xf numFmtId="164" fontId="3" fillId="3" borderId="1" xfId="0" applyNumberFormat="1" applyFont="1" applyFill="1" applyBorder="1" applyAlignment="1">
      <alignment horizontal="center"/>
    </xf>
    <xf numFmtId="0" fontId="3" fillId="0" borderId="1" xfId="0" applyFont="1" applyBorder="1" applyAlignment="1">
      <alignment horizontal="center"/>
    </xf>
    <xf numFmtId="164" fontId="3" fillId="4" borderId="1" xfId="0" applyNumberFormat="1" applyFont="1" applyFill="1" applyBorder="1" applyAlignment="1">
      <alignment horizontal="center"/>
    </xf>
    <xf numFmtId="0" fontId="5" fillId="0" borderId="1" xfId="0" applyFont="1" applyBorder="1"/>
    <xf numFmtId="164" fontId="5" fillId="0" borderId="1" xfId="0" applyNumberFormat="1" applyFont="1" applyBorder="1" applyAlignment="1">
      <alignment horizontal="center"/>
    </xf>
    <xf numFmtId="0" fontId="10" fillId="0" borderId="0" xfId="0" applyFont="1" applyAlignment="1">
      <alignment horizontal="center" vertical="center"/>
    </xf>
    <xf numFmtId="0" fontId="0" fillId="0" borderId="2" xfId="0" applyBorder="1" applyAlignment="1">
      <alignment horizontal="center" vertical="center"/>
    </xf>
    <xf numFmtId="0" fontId="8" fillId="0" borderId="0" xfId="0" applyFont="1" applyAlignment="1">
      <alignment vertical="top" wrapText="1"/>
    </xf>
    <xf numFmtId="0" fontId="3" fillId="0" borderId="0" xfId="0" applyFont="1" applyAlignment="1">
      <alignment vertical="top" wrapText="1"/>
    </xf>
    <xf numFmtId="0" fontId="1" fillId="0" borderId="0" xfId="0" applyFont="1"/>
    <xf numFmtId="0" fontId="11" fillId="0" borderId="0" xfId="0" applyFont="1"/>
    <xf numFmtId="0" fontId="12" fillId="0" borderId="0" xfId="0" applyFont="1"/>
  </cellXfs>
  <cellStyles count="1">
    <cellStyle name="Normal" xfId="0" builtinId="0"/>
  </cellStyles>
  <dxfs count="5">
    <dxf>
      <fill>
        <patternFill>
          <bgColor rgb="FF00B050"/>
        </patternFill>
      </fill>
    </dxf>
    <dxf>
      <fill>
        <patternFill>
          <bgColor rgb="FFFF0000"/>
        </patternFill>
      </fill>
    </dxf>
    <dxf>
      <fill>
        <patternFill>
          <bgColor theme="6" tint="0.59996337778862885"/>
        </patternFill>
      </fill>
    </dxf>
    <dxf>
      <fill>
        <patternFill>
          <bgColor theme="5" tint="0.59996337778862885"/>
        </patternFill>
      </fill>
    </dxf>
    <dxf>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29D5-84AA-47D5-ADAE-1CDFA71A1C65}">
  <dimension ref="A2:M13"/>
  <sheetViews>
    <sheetView tabSelected="1" zoomScaleNormal="100" workbookViewId="0">
      <selection activeCell="B18" sqref="B18"/>
    </sheetView>
  </sheetViews>
  <sheetFormatPr defaultRowHeight="14.4" x14ac:dyDescent="0.3"/>
  <cols>
    <col min="1" max="1" width="23.6640625" bestFit="1" customWidth="1"/>
    <col min="2" max="2" width="17.6640625" bestFit="1" customWidth="1"/>
    <col min="3" max="3" width="14.109375" bestFit="1" customWidth="1"/>
    <col min="4" max="4" width="15.21875" bestFit="1" customWidth="1"/>
    <col min="5" max="5" width="11.33203125" bestFit="1" customWidth="1"/>
    <col min="6" max="6" width="12.5546875" bestFit="1" customWidth="1"/>
    <col min="7" max="7" width="14.21875" bestFit="1" customWidth="1"/>
    <col min="8" max="9" width="6.44140625" bestFit="1" customWidth="1"/>
    <col min="10" max="10" width="6" bestFit="1" customWidth="1"/>
    <col min="11" max="11" width="9.88671875" bestFit="1" customWidth="1"/>
    <col min="12" max="13" width="18.6640625" bestFit="1" customWidth="1"/>
  </cols>
  <sheetData>
    <row r="2" spans="1:13" ht="18" x14ac:dyDescent="0.3">
      <c r="A2" s="17" t="s">
        <v>49</v>
      </c>
      <c r="B2" s="17"/>
      <c r="C2" s="17"/>
      <c r="D2" s="17"/>
      <c r="E2" s="17"/>
      <c r="F2" s="17"/>
      <c r="G2" s="17"/>
      <c r="H2" s="17"/>
      <c r="I2" s="17"/>
      <c r="J2" s="17"/>
      <c r="K2" s="17"/>
      <c r="L2" s="17"/>
      <c r="M2" s="17"/>
    </row>
    <row r="3" spans="1:13" x14ac:dyDescent="0.3">
      <c r="A3" s="18" t="s">
        <v>50</v>
      </c>
      <c r="B3" s="18"/>
      <c r="C3" s="18"/>
      <c r="D3" s="18"/>
      <c r="E3" s="18"/>
      <c r="F3" s="18"/>
      <c r="G3" s="18"/>
      <c r="H3" s="18"/>
      <c r="I3" s="18"/>
      <c r="J3" s="18"/>
      <c r="K3" s="18"/>
      <c r="L3" s="18"/>
      <c r="M3" s="18"/>
    </row>
    <row r="4" spans="1:13" ht="36.6" customHeight="1" x14ac:dyDescent="0.3">
      <c r="A4" s="4" t="s">
        <v>2</v>
      </c>
      <c r="B4" s="4" t="s">
        <v>27</v>
      </c>
      <c r="C4" s="5" t="s">
        <v>42</v>
      </c>
      <c r="D4" s="5" t="s">
        <v>43</v>
      </c>
      <c r="E4" s="4" t="s">
        <v>3</v>
      </c>
      <c r="F4" s="4" t="s">
        <v>28</v>
      </c>
      <c r="G4" s="5" t="s">
        <v>29</v>
      </c>
      <c r="H4" s="5" t="s">
        <v>30</v>
      </c>
      <c r="I4" s="5" t="s">
        <v>31</v>
      </c>
      <c r="J4" s="5" t="s">
        <v>32</v>
      </c>
      <c r="K4" s="5" t="s">
        <v>33</v>
      </c>
      <c r="L4" s="5" t="s">
        <v>4</v>
      </c>
      <c r="M4" s="5" t="s">
        <v>34</v>
      </c>
    </row>
    <row r="5" spans="1:13" ht="18.600000000000001" customHeight="1" x14ac:dyDescent="0.3">
      <c r="A5" s="3" t="str">
        <f>('GST ITC Reconciliation'!A5)</f>
        <v>Dhara Industries</v>
      </c>
      <c r="B5" s="6" t="s">
        <v>35</v>
      </c>
      <c r="C5" s="6" t="s">
        <v>44</v>
      </c>
      <c r="D5" s="6" t="s">
        <v>44</v>
      </c>
      <c r="E5" s="6" t="s">
        <v>14</v>
      </c>
      <c r="F5" s="7">
        <v>46117</v>
      </c>
      <c r="G5" s="8">
        <v>555556</v>
      </c>
      <c r="H5" s="8">
        <f>IF(C5=D5,G5*9%,0)</f>
        <v>50000.04</v>
      </c>
      <c r="I5" s="8">
        <f>IF(C5=D5,G5*9%,0)</f>
        <v>50000.04</v>
      </c>
      <c r="J5" s="6">
        <f>IF(C5&lt;&gt;D5,ROUND(G5*18%,0),0)</f>
        <v>0</v>
      </c>
      <c r="K5" s="8">
        <f>SUM(H5:J5)</f>
        <v>100000.08</v>
      </c>
      <c r="L5" s="6">
        <f>('GST ITC Reconciliation'!C5)</f>
        <v>100000</v>
      </c>
      <c r="M5" s="6">
        <f>('GST ITC Reconciliation'!D5)</f>
        <v>100000</v>
      </c>
    </row>
    <row r="6" spans="1:13" ht="19.2" customHeight="1" x14ac:dyDescent="0.3">
      <c r="A6" s="3" t="str">
        <f>('GST ITC Reconciliation'!A6)</f>
        <v>Novatal Automobile Pvt Ltd</v>
      </c>
      <c r="B6" s="6" t="s">
        <v>36</v>
      </c>
      <c r="C6" s="6" t="s">
        <v>44</v>
      </c>
      <c r="D6" s="6" t="s">
        <v>44</v>
      </c>
      <c r="E6" s="6" t="s">
        <v>15</v>
      </c>
      <c r="F6" s="7">
        <v>46120</v>
      </c>
      <c r="G6" s="8">
        <v>429444</v>
      </c>
      <c r="H6" s="8">
        <f t="shared" ref="H6:H11" si="0">IF(C6=D6,G6*9%,0)</f>
        <v>38649.96</v>
      </c>
      <c r="I6" s="8">
        <f t="shared" ref="I6:I11" si="1">IF(C6=D6,G6*9%,0)</f>
        <v>38649.96</v>
      </c>
      <c r="J6" s="6">
        <f t="shared" ref="J6:J11" si="2">IF(C6&lt;&gt;D6,ROUND(G6*18%,0),0)</f>
        <v>0</v>
      </c>
      <c r="K6" s="8">
        <f t="shared" ref="K6:K11" si="3">SUM(H6:J6)</f>
        <v>77299.92</v>
      </c>
      <c r="L6" s="6">
        <f>('GST ITC Reconciliation'!C6)</f>
        <v>77300</v>
      </c>
      <c r="M6" s="6">
        <f>('GST ITC Reconciliation'!D6)</f>
        <v>77300</v>
      </c>
    </row>
    <row r="7" spans="1:13" ht="19.2" customHeight="1" x14ac:dyDescent="0.3">
      <c r="A7" s="3" t="str">
        <f>('GST ITC Reconciliation'!A7)</f>
        <v>Agarwal Jewellers</v>
      </c>
      <c r="B7" s="6" t="s">
        <v>37</v>
      </c>
      <c r="C7" s="6" t="s">
        <v>45</v>
      </c>
      <c r="D7" s="6" t="s">
        <v>45</v>
      </c>
      <c r="E7" s="6" t="s">
        <v>16</v>
      </c>
      <c r="F7" s="7">
        <v>46122</v>
      </c>
      <c r="G7" s="8">
        <v>222778</v>
      </c>
      <c r="H7" s="8">
        <f t="shared" si="0"/>
        <v>20050.02</v>
      </c>
      <c r="I7" s="8">
        <f t="shared" si="1"/>
        <v>20050.02</v>
      </c>
      <c r="J7" s="6">
        <f t="shared" si="2"/>
        <v>0</v>
      </c>
      <c r="K7" s="8">
        <f t="shared" si="3"/>
        <v>40100.04</v>
      </c>
      <c r="L7" s="6">
        <f>('GST ITC Reconciliation'!C7)</f>
        <v>40100</v>
      </c>
      <c r="M7" s="6">
        <f>('GST ITC Reconciliation'!D7)</f>
        <v>33100</v>
      </c>
    </row>
    <row r="8" spans="1:13" ht="19.2" customHeight="1" x14ac:dyDescent="0.3">
      <c r="A8" s="3" t="str">
        <f>('GST ITC Reconciliation'!A8)</f>
        <v>Amit &amp; Sons Ltd</v>
      </c>
      <c r="B8" s="6" t="s">
        <v>38</v>
      </c>
      <c r="C8" s="6" t="s">
        <v>45</v>
      </c>
      <c r="D8" s="6" t="s">
        <v>45</v>
      </c>
      <c r="E8" s="6" t="s">
        <v>17</v>
      </c>
      <c r="F8" s="7">
        <v>46124</v>
      </c>
      <c r="G8" s="8">
        <v>188889</v>
      </c>
      <c r="H8" s="8">
        <f t="shared" si="0"/>
        <v>17000.009999999998</v>
      </c>
      <c r="I8" s="8">
        <f t="shared" si="1"/>
        <v>17000.009999999998</v>
      </c>
      <c r="J8" s="6">
        <f t="shared" si="2"/>
        <v>0</v>
      </c>
      <c r="K8" s="8">
        <f t="shared" si="3"/>
        <v>34000.019999999997</v>
      </c>
      <c r="L8" s="6">
        <f>('GST ITC Reconciliation'!C8)</f>
        <v>34000</v>
      </c>
      <c r="M8" s="6">
        <f>('GST ITC Reconciliation'!D8)</f>
        <v>34000</v>
      </c>
    </row>
    <row r="9" spans="1:13" ht="19.2" customHeight="1" x14ac:dyDescent="0.3">
      <c r="A9" s="3" t="str">
        <f>('GST ITC Reconciliation'!A9)</f>
        <v>Eastern Chemicals Pvt Ltd</v>
      </c>
      <c r="B9" s="6" t="s">
        <v>39</v>
      </c>
      <c r="C9" s="6" t="s">
        <v>46</v>
      </c>
      <c r="D9" s="6" t="s">
        <v>46</v>
      </c>
      <c r="E9" s="6" t="s">
        <v>18</v>
      </c>
      <c r="F9" s="7">
        <v>46127</v>
      </c>
      <c r="G9" s="8">
        <v>419444</v>
      </c>
      <c r="H9" s="8">
        <f t="shared" si="0"/>
        <v>37749.96</v>
      </c>
      <c r="I9" s="8">
        <f t="shared" si="1"/>
        <v>37749.96</v>
      </c>
      <c r="J9" s="6">
        <f t="shared" si="2"/>
        <v>0</v>
      </c>
      <c r="K9" s="8">
        <f t="shared" si="3"/>
        <v>75499.92</v>
      </c>
      <c r="L9" s="6">
        <f>('GST ITC Reconciliation'!C9)</f>
        <v>75500</v>
      </c>
      <c r="M9" s="6">
        <f>('GST ITC Reconciliation'!D9)</f>
        <v>0</v>
      </c>
    </row>
    <row r="10" spans="1:13" ht="19.2" customHeight="1" x14ac:dyDescent="0.3">
      <c r="A10" s="3" t="str">
        <f>('GST ITC Reconciliation'!A10)</f>
        <v>Das Manufacturers</v>
      </c>
      <c r="B10" s="6" t="s">
        <v>40</v>
      </c>
      <c r="C10" s="6" t="s">
        <v>44</v>
      </c>
      <c r="D10" s="6" t="s">
        <v>44</v>
      </c>
      <c r="E10" s="6" t="s">
        <v>19</v>
      </c>
      <c r="F10" s="7">
        <v>46130</v>
      </c>
      <c r="G10" s="8">
        <v>95000</v>
      </c>
      <c r="H10" s="8">
        <f t="shared" si="0"/>
        <v>8550</v>
      </c>
      <c r="I10" s="8">
        <f t="shared" si="1"/>
        <v>8550</v>
      </c>
      <c r="J10" s="6">
        <f t="shared" si="2"/>
        <v>0</v>
      </c>
      <c r="K10" s="8">
        <f t="shared" si="3"/>
        <v>17100</v>
      </c>
      <c r="L10" s="6">
        <f>('GST ITC Reconciliation'!C10)</f>
        <v>17100</v>
      </c>
      <c r="M10" s="6">
        <f>('GST ITC Reconciliation'!D10)</f>
        <v>17100</v>
      </c>
    </row>
    <row r="11" spans="1:13" ht="19.2" customHeight="1" x14ac:dyDescent="0.3">
      <c r="A11" s="3" t="str">
        <f>('GST ITC Reconciliation'!A11)</f>
        <v>Raj Electricals</v>
      </c>
      <c r="B11" s="6" t="s">
        <v>41</v>
      </c>
      <c r="C11" s="6" t="s">
        <v>44</v>
      </c>
      <c r="D11" s="6" t="s">
        <v>47</v>
      </c>
      <c r="E11" s="6" t="s">
        <v>20</v>
      </c>
      <c r="F11" s="7">
        <v>46134</v>
      </c>
      <c r="G11" s="8">
        <v>238889</v>
      </c>
      <c r="H11" s="8">
        <f t="shared" si="0"/>
        <v>0</v>
      </c>
      <c r="I11" s="8">
        <f t="shared" si="1"/>
        <v>0</v>
      </c>
      <c r="J11" s="6">
        <f t="shared" si="2"/>
        <v>43000</v>
      </c>
      <c r="K11" s="8">
        <f t="shared" si="3"/>
        <v>43000</v>
      </c>
      <c r="L11" s="6">
        <f>('GST ITC Reconciliation'!C11)</f>
        <v>43000.02</v>
      </c>
      <c r="M11" s="6">
        <f>('GST ITC Reconciliation'!D11)</f>
        <v>51300</v>
      </c>
    </row>
    <row r="12" spans="1:13" x14ac:dyDescent="0.3">
      <c r="I12" s="2"/>
    </row>
    <row r="13" spans="1:13" x14ac:dyDescent="0.3">
      <c r="I13" s="2"/>
    </row>
  </sheetData>
  <mergeCells count="2">
    <mergeCell ref="A2:M2"/>
    <mergeCell ref="A3:M3"/>
  </mergeCells>
  <phoneticPr fontId="7" type="noConversion"/>
  <conditionalFormatting sqref="L5:M11">
    <cfRule type="expression" dxfId="4" priority="1">
      <formula>$L5=$M5</formula>
    </cfRule>
    <cfRule type="expression" dxfId="3" priority="2">
      <formula>$L5&lt;&gt;$M5</formula>
    </cfRule>
    <cfRule type="expression" dxfId="2" priority="3">
      <formula>$L5=$M5</formula>
    </cfRule>
    <cfRule type="expression" dxfId="1" priority="4">
      <formula>$L5&lt;&gt;$M5</formula>
    </cfRule>
    <cfRule type="expression" dxfId="0" priority="5">
      <formula>$L5=$M5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zoomScaleNormal="100" workbookViewId="0">
      <selection activeCell="F19" sqref="F19"/>
    </sheetView>
  </sheetViews>
  <sheetFormatPr defaultColWidth="8.6640625" defaultRowHeight="14.4" x14ac:dyDescent="0.3"/>
  <cols>
    <col min="1" max="1" width="24" customWidth="1"/>
    <col min="2" max="2" width="13" customWidth="1"/>
    <col min="3" max="4" width="20" customWidth="1"/>
    <col min="5" max="5" width="14" customWidth="1"/>
    <col min="6" max="6" width="26" customWidth="1"/>
  </cols>
  <sheetData>
    <row r="1" spans="1:6" ht="17.399999999999999" x14ac:dyDescent="0.3">
      <c r="A1" s="21" t="s">
        <v>0</v>
      </c>
      <c r="B1" s="21"/>
      <c r="C1" s="21"/>
      <c r="D1" s="21"/>
      <c r="E1" s="21"/>
      <c r="F1" s="21"/>
    </row>
    <row r="2" spans="1:6" x14ac:dyDescent="0.3">
      <c r="A2" s="22" t="s">
        <v>1</v>
      </c>
      <c r="B2" s="23"/>
      <c r="C2" s="23"/>
      <c r="D2" s="23"/>
      <c r="E2" s="23"/>
      <c r="F2" s="23"/>
    </row>
    <row r="4" spans="1:6" ht="26.4" x14ac:dyDescent="0.3">
      <c r="A4" s="9" t="s">
        <v>2</v>
      </c>
      <c r="B4" s="9" t="s">
        <v>3</v>
      </c>
      <c r="C4" s="9" t="s">
        <v>4</v>
      </c>
      <c r="D4" s="9" t="s">
        <v>5</v>
      </c>
      <c r="E4" s="9" t="s">
        <v>6</v>
      </c>
      <c r="F4" s="9" t="s">
        <v>7</v>
      </c>
    </row>
    <row r="5" spans="1:6" x14ac:dyDescent="0.3">
      <c r="A5" s="10" t="s">
        <v>21</v>
      </c>
      <c r="B5" s="10" t="s">
        <v>14</v>
      </c>
      <c r="C5" s="11">
        <v>100000</v>
      </c>
      <c r="D5" s="11">
        <v>100000</v>
      </c>
      <c r="E5" s="12">
        <f t="shared" ref="E5:E11" si="0">D5-C5</f>
        <v>0</v>
      </c>
      <c r="F5" s="13" t="str">
        <f t="shared" ref="F5:F10" si="1">IF(E5=0,"Matched",IF(E5&lt;0,"Under-claimed - follow up","Over-claimed - needs reversal"))</f>
        <v>Matched</v>
      </c>
    </row>
    <row r="6" spans="1:6" x14ac:dyDescent="0.3">
      <c r="A6" s="10" t="s">
        <v>22</v>
      </c>
      <c r="B6" s="10" t="s">
        <v>15</v>
      </c>
      <c r="C6" s="11">
        <v>77300</v>
      </c>
      <c r="D6" s="11">
        <v>77300</v>
      </c>
      <c r="E6" s="12">
        <f>D6-C6</f>
        <v>0</v>
      </c>
      <c r="F6" s="13" t="str">
        <f t="shared" si="1"/>
        <v>Matched</v>
      </c>
    </row>
    <row r="7" spans="1:6" x14ac:dyDescent="0.3">
      <c r="A7" s="10" t="s">
        <v>23</v>
      </c>
      <c r="B7" s="10" t="s">
        <v>16</v>
      </c>
      <c r="C7" s="11">
        <v>40100</v>
      </c>
      <c r="D7" s="11">
        <v>33100</v>
      </c>
      <c r="E7" s="14">
        <f t="shared" si="0"/>
        <v>-7000</v>
      </c>
      <c r="F7" s="13" t="str">
        <f t="shared" si="1"/>
        <v>Under-claimed - follow up</v>
      </c>
    </row>
    <row r="8" spans="1:6" x14ac:dyDescent="0.3">
      <c r="A8" s="10" t="s">
        <v>24</v>
      </c>
      <c r="B8" s="10" t="s">
        <v>17</v>
      </c>
      <c r="C8" s="11">
        <v>34000</v>
      </c>
      <c r="D8" s="11">
        <v>34000</v>
      </c>
      <c r="E8" s="12">
        <f t="shared" si="0"/>
        <v>0</v>
      </c>
      <c r="F8" s="13" t="str">
        <f t="shared" si="1"/>
        <v>Matched</v>
      </c>
    </row>
    <row r="9" spans="1:6" x14ac:dyDescent="0.3">
      <c r="A9" s="10" t="s">
        <v>8</v>
      </c>
      <c r="B9" s="10" t="s">
        <v>18</v>
      </c>
      <c r="C9" s="11">
        <v>75500</v>
      </c>
      <c r="D9" s="11">
        <v>0</v>
      </c>
      <c r="E9" s="14">
        <f t="shared" si="0"/>
        <v>-75500</v>
      </c>
      <c r="F9" s="13" t="str">
        <f>IF(E9=0,"Matched",IF(E9&lt;0,"Under-claimed - follow up","Over-claimed - needs reversal"))</f>
        <v>Under-claimed - follow up</v>
      </c>
    </row>
    <row r="10" spans="1:6" x14ac:dyDescent="0.3">
      <c r="A10" s="10" t="s">
        <v>25</v>
      </c>
      <c r="B10" s="10" t="s">
        <v>19</v>
      </c>
      <c r="C10" s="11">
        <v>17100</v>
      </c>
      <c r="D10" s="11">
        <v>17100</v>
      </c>
      <c r="E10" s="12">
        <f t="shared" si="0"/>
        <v>0</v>
      </c>
      <c r="F10" s="13" t="str">
        <f t="shared" si="1"/>
        <v>Matched</v>
      </c>
    </row>
    <row r="11" spans="1:6" x14ac:dyDescent="0.3">
      <c r="A11" s="10" t="s">
        <v>26</v>
      </c>
      <c r="B11" s="10" t="s">
        <v>20</v>
      </c>
      <c r="C11" s="11">
        <v>43000.02</v>
      </c>
      <c r="D11" s="11">
        <v>51300</v>
      </c>
      <c r="E11" s="14">
        <f t="shared" si="0"/>
        <v>8299.9800000000032</v>
      </c>
      <c r="F11" s="13" t="str">
        <f>IF(E11=0,"Matched",IF(E11&lt;0,"Under-claimed - follow up","Over-claimed - needs reversal"))</f>
        <v>Over-claimed - needs reversal</v>
      </c>
    </row>
    <row r="12" spans="1:6" x14ac:dyDescent="0.3">
      <c r="A12" s="15" t="s">
        <v>9</v>
      </c>
      <c r="B12" s="3"/>
      <c r="C12" s="16">
        <f>SUM(C5:C11)</f>
        <v>387000.02</v>
      </c>
      <c r="D12" s="16">
        <f>SUM(D5:D11)</f>
        <v>312800</v>
      </c>
      <c r="E12" s="16">
        <f>SUM(E5:E11)</f>
        <v>-74200.01999999999</v>
      </c>
      <c r="F12" s="3"/>
    </row>
    <row r="14" spans="1:6" x14ac:dyDescent="0.3">
      <c r="A14" s="1" t="s">
        <v>10</v>
      </c>
    </row>
    <row r="15" spans="1:6" ht="27.75" customHeight="1" x14ac:dyDescent="0.3">
      <c r="A15" s="19" t="s">
        <v>13</v>
      </c>
      <c r="B15" s="20"/>
      <c r="C15" s="20"/>
      <c r="D15" s="20"/>
      <c r="E15" s="20"/>
      <c r="F15" s="20"/>
    </row>
    <row r="16" spans="1:6" ht="27.75" customHeight="1" x14ac:dyDescent="0.3">
      <c r="A16" s="20" t="s">
        <v>12</v>
      </c>
      <c r="B16" s="20"/>
      <c r="C16" s="20"/>
      <c r="D16" s="20"/>
      <c r="E16" s="20"/>
      <c r="F16" s="20"/>
    </row>
    <row r="17" spans="1:6" ht="27.75" customHeight="1" x14ac:dyDescent="0.3">
      <c r="A17" s="20" t="s">
        <v>11</v>
      </c>
      <c r="B17" s="20"/>
      <c r="C17" s="20"/>
      <c r="D17" s="20"/>
      <c r="E17" s="20"/>
      <c r="F17" s="20"/>
    </row>
    <row r="18" spans="1:6" ht="42.6" customHeight="1" x14ac:dyDescent="0.3">
      <c r="A18" s="19" t="s">
        <v>48</v>
      </c>
      <c r="B18" s="20"/>
      <c r="C18" s="20"/>
      <c r="D18" s="20"/>
      <c r="E18" s="20"/>
      <c r="F18" s="20"/>
    </row>
  </sheetData>
  <mergeCells count="6">
    <mergeCell ref="A18:F18"/>
    <mergeCell ref="A1:F1"/>
    <mergeCell ref="A2:F2"/>
    <mergeCell ref="A15:F15"/>
    <mergeCell ref="A16:F16"/>
    <mergeCell ref="A17:F17"/>
  </mergeCells>
  <phoneticPr fontId="7"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Vendor Invoice Data</vt:lpstr>
      <vt:lpstr>GST ITC 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Argha Kamal Das</cp:lastModifiedBy>
  <cp:revision>0</cp:revision>
  <dcterms:created xsi:type="dcterms:W3CDTF">2026-07-02T06:23:25Z</dcterms:created>
  <dcterms:modified xsi:type="dcterms:W3CDTF">2026-07-09T09:47:31Z</dcterms:modified>
  <dc:language>en-US</dc:language>
</cp:coreProperties>
</file>